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conseils.sharepoint.com/sites/Produitsouverttous/Documents partages/General/SCPI/"/>
    </mc:Choice>
  </mc:AlternateContent>
  <xr:revisionPtr revIDLastSave="0" documentId="8_{912826FB-A1E0-4F35-A438-A6E969F21558}" xr6:coauthVersionLast="47" xr6:coauthVersionMax="47" xr10:uidLastSave="{00000000-0000-0000-0000-000000000000}"/>
  <bookViews>
    <workbookView xWindow="-110" yWindow="-110" windowWidth="19420" windowHeight="10300" xr2:uid="{411035FD-D9AA-AB43-8818-66483C3B2FCB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G4" i="1"/>
  <c r="F23" i="1"/>
  <c r="G23" i="1"/>
  <c r="C21" i="1" l="1"/>
  <c r="G10" i="1"/>
  <c r="G9" i="1"/>
  <c r="G29" i="1"/>
  <c r="C29" i="1"/>
  <c r="C13" i="1"/>
  <c r="G3" i="1"/>
  <c r="C9" i="1"/>
  <c r="C8" i="1"/>
  <c r="C6" i="1" l="1"/>
  <c r="G8" i="1" s="1"/>
  <c r="G11" i="1" l="1"/>
  <c r="G5" i="1"/>
  <c r="G6" i="1"/>
  <c r="G7" i="1" s="1"/>
</calcChain>
</file>

<file path=xl/sharedStrings.xml><?xml version="1.0" encoding="utf-8"?>
<sst xmlns="http://schemas.openxmlformats.org/spreadsheetml/2006/main" count="174" uniqueCount="166">
  <si>
    <t>Budget mensuel personnel</t>
  </si>
  <si>
    <t>Profil investisseur</t>
  </si>
  <si>
    <t>Profil financier</t>
  </si>
  <si>
    <t xml:space="preserve">Valeurs à retenir </t>
  </si>
  <si>
    <t>Nom</t>
  </si>
  <si>
    <t>LEMARIE</t>
  </si>
  <si>
    <t>Vous connaissez ou vous avez expérimenté? O/N</t>
  </si>
  <si>
    <t>Type de support</t>
  </si>
  <si>
    <t>Salaires Mensuels av PAS</t>
  </si>
  <si>
    <t>Revenus</t>
  </si>
  <si>
    <t>Prénom</t>
  </si>
  <si>
    <t>Bourse</t>
  </si>
  <si>
    <t>SICAV ou FCP</t>
  </si>
  <si>
    <t>Déclarant 1</t>
  </si>
  <si>
    <t>Crédits + pensions versées</t>
  </si>
  <si>
    <t>Date de naissance</t>
  </si>
  <si>
    <t>Date/lieu de naiss</t>
  </si>
  <si>
    <t>Obligations</t>
  </si>
  <si>
    <t>Déclarant 2</t>
  </si>
  <si>
    <t>Endettement actuel</t>
  </si>
  <si>
    <t>Lieu de naissance</t>
  </si>
  <si>
    <t>Nbre de parts</t>
  </si>
  <si>
    <t>Actions</t>
  </si>
  <si>
    <t>Revenus locatifs existants</t>
  </si>
  <si>
    <t>Benef foncier N-1</t>
  </si>
  <si>
    <t>Capa Max</t>
  </si>
  <si>
    <t xml:space="preserve">Adrese </t>
  </si>
  <si>
    <t>Situation familiale</t>
  </si>
  <si>
    <t>Célibataire</t>
  </si>
  <si>
    <t>Trackers - fonds alternatifs</t>
  </si>
  <si>
    <t>Loyer HC</t>
  </si>
  <si>
    <t>retenus 80%</t>
  </si>
  <si>
    <t>Réserve d'endettement</t>
  </si>
  <si>
    <t>Code postal/ville</t>
  </si>
  <si>
    <t>Régime matrimonial</t>
  </si>
  <si>
    <t>Warrants - Futurs - Options</t>
  </si>
  <si>
    <t>Bien N°1</t>
  </si>
  <si>
    <t>Réserve d'épargne</t>
  </si>
  <si>
    <t>Tél</t>
  </si>
  <si>
    <t>Gestion directe ou personnelle</t>
  </si>
  <si>
    <t>Bien N°2</t>
  </si>
  <si>
    <t>Patrimoine net actuel</t>
  </si>
  <si>
    <t>Mail</t>
  </si>
  <si>
    <t>Gestion déléguée ou sous mandat</t>
  </si>
  <si>
    <t>Pensions perçues</t>
  </si>
  <si>
    <t>Horizon de placement max (ans)</t>
  </si>
  <si>
    <t>N° fiscal/NIF</t>
  </si>
  <si>
    <t>Assurance vie</t>
  </si>
  <si>
    <t>Fonds euros</t>
  </si>
  <si>
    <t>Age de l'enfant</t>
  </si>
  <si>
    <t>Reste à vivre (selon les banques)</t>
  </si>
  <si>
    <t>OBJECTIFS</t>
  </si>
  <si>
    <t>Primaire ou secondaire? P ou S</t>
  </si>
  <si>
    <t>Supports unités de compte</t>
  </si>
  <si>
    <t>effort d'épargne validé</t>
  </si>
  <si>
    <t>Prévoyance</t>
  </si>
  <si>
    <t>Protéger vos revenus</t>
  </si>
  <si>
    <t>Placement immobilier</t>
  </si>
  <si>
    <t>SCPI</t>
  </si>
  <si>
    <t>Crédits - Souscripteur?</t>
  </si>
  <si>
    <t>Date d'achat</t>
  </si>
  <si>
    <t>Capital Restant Du</t>
  </si>
  <si>
    <t>Echéance</t>
  </si>
  <si>
    <t>Valeur du bien</t>
  </si>
  <si>
    <t>Protéger vos proches</t>
  </si>
  <si>
    <t>OPCI</t>
  </si>
  <si>
    <t>Emprunt RP ou loyer</t>
  </si>
  <si>
    <t>Protéger vos biens</t>
  </si>
  <si>
    <t>Placement défiscalisant</t>
  </si>
  <si>
    <t>FCPI</t>
  </si>
  <si>
    <t>Emprunt locatif bien n°1</t>
  </si>
  <si>
    <t>Protéger des risques entreprise</t>
  </si>
  <si>
    <t>FIP</t>
  </si>
  <si>
    <t>Emprunt locatif bien n°2</t>
  </si>
  <si>
    <t>Epargne</t>
  </si>
  <si>
    <t>Constituer un patrimoine</t>
  </si>
  <si>
    <t>Votre comportement face au riisque</t>
  </si>
  <si>
    <t>Oui/ Non</t>
  </si>
  <si>
    <t>Crédit consommation</t>
  </si>
  <si>
    <t>Acheter votre RP</t>
  </si>
  <si>
    <t>J'ai d'autres liquidités pour ma trésorerie</t>
  </si>
  <si>
    <t>Acheter et financer une passion</t>
  </si>
  <si>
    <t>J'ai déjà subi une perte en bourse</t>
  </si>
  <si>
    <t>Crédit voiture/moto</t>
  </si>
  <si>
    <t xml:space="preserve">Créer une entreprise </t>
  </si>
  <si>
    <t>Je réinvestis sur une baisse</t>
  </si>
  <si>
    <t>Gestion</t>
  </si>
  <si>
    <t>Valoriser vos actifs</t>
  </si>
  <si>
    <t>J'ai déjà réalisé des gains en bourse</t>
  </si>
  <si>
    <t>Charges fixes/abonnements</t>
  </si>
  <si>
    <t xml:space="preserve">Si contrat de prévoyance détenu par le client, merci de vérifier le montant perçu en cas de Décès - Invalidité. </t>
  </si>
  <si>
    <t xml:space="preserve">Epargne </t>
  </si>
  <si>
    <t>D'où provient-elle?</t>
  </si>
  <si>
    <t>sécuriser vos droits</t>
  </si>
  <si>
    <t>Je suis optimiste sur les performances à long terme</t>
  </si>
  <si>
    <t>Téléphones portables/ Internet</t>
  </si>
  <si>
    <t>VP</t>
  </si>
  <si>
    <t>Capital</t>
  </si>
  <si>
    <t>diminuer votre fiscalité</t>
  </si>
  <si>
    <t xml:space="preserve">Quelle proposition me correspond le mieux? </t>
  </si>
  <si>
    <t>Canal + /Netflix</t>
  </si>
  <si>
    <t>optimiser les outils entreprise</t>
  </si>
  <si>
    <t>J'accepte une perte inférieure à 10% pour un rendement entre 0 et 2%</t>
  </si>
  <si>
    <t>Essence</t>
  </si>
  <si>
    <t>Cpte courant</t>
  </si>
  <si>
    <t>retraite</t>
  </si>
  <si>
    <t>Epargner pour la retraite</t>
  </si>
  <si>
    <t>J'accepte une perte supérieure à 10% pour un rendement entre 2% et 5%</t>
  </si>
  <si>
    <t>Abonnement transport</t>
  </si>
  <si>
    <t>Livret A/LDD</t>
  </si>
  <si>
    <t>Assurer une retraite au conjoint</t>
  </si>
  <si>
    <t>J'accepte une perte supérieure à 12% pour un rendement supérieur à 5%</t>
  </si>
  <si>
    <t>Etudes des enfants</t>
  </si>
  <si>
    <t>LEP</t>
  </si>
  <si>
    <t>Obtenir des revenus complémentaires</t>
  </si>
  <si>
    <t>Vos connaissances patrimoniales</t>
  </si>
  <si>
    <t>Electricité/Gaz/Eau</t>
  </si>
  <si>
    <t>PEL</t>
  </si>
  <si>
    <t>Transmission</t>
  </si>
  <si>
    <t>Protéger le pouvoir et la dépendance</t>
  </si>
  <si>
    <t>Droit de la famille</t>
  </si>
  <si>
    <t>Droits et limites du PACS</t>
  </si>
  <si>
    <t>Droits et limites du mariage</t>
  </si>
  <si>
    <t>Assurances/mutuelles</t>
  </si>
  <si>
    <t>Ass vie</t>
  </si>
  <si>
    <t>Transmettre à vos proches</t>
  </si>
  <si>
    <t>Droits de l'usufruitier et du nu-propriétaire</t>
  </si>
  <si>
    <t>Régle de dévolution successorale</t>
  </si>
  <si>
    <t>Impôts</t>
  </si>
  <si>
    <t>Loisirs</t>
  </si>
  <si>
    <t xml:space="preserve">Proétger le survivant du couple </t>
  </si>
  <si>
    <t>Revenus et entreprise</t>
  </si>
  <si>
    <t>Montant des charges sociales</t>
  </si>
  <si>
    <t>Montant de protection maladie</t>
  </si>
  <si>
    <t>PAS Déclarant 1</t>
  </si>
  <si>
    <t>Si détention de Collection, merci de demander la valeur de celle-ci</t>
  </si>
  <si>
    <t>Abonnement sport</t>
  </si>
  <si>
    <t xml:space="preserve">Extra-financier </t>
  </si>
  <si>
    <t>Etes vous sensible aux ISR?</t>
  </si>
  <si>
    <t>Régles du bilan et du compte de résultat</t>
  </si>
  <si>
    <t>Régles d'imposition IR/IS</t>
  </si>
  <si>
    <t>PAS Déclarant 2</t>
  </si>
  <si>
    <t>Courses</t>
  </si>
  <si>
    <t>OPPORTUNITES/CONTRAINTES</t>
  </si>
  <si>
    <t>Possibilités et plafonds d'épargne en entreprise</t>
  </si>
  <si>
    <t>RC du dirigeant et de la profession libérale</t>
  </si>
  <si>
    <t>Taxe foncière</t>
  </si>
  <si>
    <t>Sorties/restaurants</t>
  </si>
  <si>
    <t>Année rentrée en Gend? retraite souhaitée?</t>
  </si>
  <si>
    <t>Patrimoine</t>
  </si>
  <si>
    <t>Source de déficits fonciers et mécanisme de report</t>
  </si>
  <si>
    <t>Coût et incidences du crédit amortissable ou  in fine</t>
  </si>
  <si>
    <t>Taxe audiovisuelle</t>
  </si>
  <si>
    <t>Week end/Vacances</t>
  </si>
  <si>
    <t>Evolutions de revenus à venir?</t>
  </si>
  <si>
    <t>Modes d'assurances du crédit</t>
  </si>
  <si>
    <t>Différents type de suretés</t>
  </si>
  <si>
    <t>Pensions versées</t>
  </si>
  <si>
    <t>Shopping</t>
  </si>
  <si>
    <t>Evolutions de dépenses à venir?</t>
  </si>
  <si>
    <t>Possibilités de clauses bénéficiaires en assurancevvie</t>
  </si>
  <si>
    <t>Esthétique</t>
  </si>
  <si>
    <t xml:space="preserve">Sortie du foyer d'un enfant prévue? </t>
  </si>
  <si>
    <t>Retraite</t>
  </si>
  <si>
    <t>Assiette, calcul et montant de votre retraite</t>
  </si>
  <si>
    <t>Régle de reversion de pension en cas de décès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</si>
</sst>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)\ &quot;€&quot;_ ;_ * \(#,##0.00\)\ &quot;€&quot;_ ;_ * &quot;-&quot;??_)\ &quot;€&quot;_ ;_ @_ "/>
    <numFmt numFmtId="165" formatCode="_-* #,##0.00\ [$€-40C]_-;\-* #,##0.00\ [$€-40C]_-;_-* &quot;-&quot;??\ [$€-40C]_-;_-@_-"/>
    <numFmt numFmtId="166" formatCode="#,##0.00\ &quot;€&quot;"/>
  </numFmts>
  <fonts count="1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40"/>
      <color theme="4"/>
      <name val="Calibri Light"/>
      <family val="2"/>
      <scheme val="major"/>
    </font>
    <font>
      <sz val="8"/>
      <name val="Calibri"/>
      <family val="2"/>
      <scheme val="minor"/>
    </font>
    <font>
      <b/>
      <sz val="24"/>
      <color theme="4"/>
      <name val="Calibri Light"/>
      <family val="2"/>
      <scheme val="major"/>
    </font>
    <font>
      <b/>
      <sz val="22"/>
      <color theme="4"/>
      <name val="Calibri Light"/>
      <family val="2"/>
      <scheme val="major"/>
    </font>
    <font>
      <u/>
      <sz val="12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9"/>
      <color theme="4"/>
      <name val="Calibri Light"/>
      <family val="2"/>
      <scheme val="maj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4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51">
    <xf numFmtId="0" fontId="0" fillId="0" borderId="0" xfId="0"/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7" fillId="0" borderId="5" xfId="0" applyFont="1" applyBorder="1" applyAlignment="1">
      <alignment wrapText="1"/>
    </xf>
    <xf numFmtId="165" fontId="7" fillId="5" borderId="5" xfId="0" applyNumberFormat="1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8" borderId="14" xfId="0" applyFont="1" applyFill="1" applyBorder="1" applyAlignment="1">
      <alignment wrapText="1"/>
    </xf>
    <xf numFmtId="14" fontId="7" fillId="0" borderId="0" xfId="0" applyNumberFormat="1" applyFont="1" applyAlignment="1">
      <alignment wrapText="1"/>
    </xf>
    <xf numFmtId="9" fontId="7" fillId="5" borderId="5" xfId="2" applyFont="1" applyFill="1" applyBorder="1" applyAlignment="1">
      <alignment wrapText="1"/>
    </xf>
    <xf numFmtId="0" fontId="7" fillId="4" borderId="0" xfId="0" applyFont="1" applyFill="1" applyAlignment="1">
      <alignment wrapText="1"/>
    </xf>
    <xf numFmtId="0" fontId="7" fillId="0" borderId="4" xfId="0" applyFont="1" applyBorder="1" applyAlignment="1">
      <alignment vertical="center" wrapText="1"/>
    </xf>
    <xf numFmtId="165" fontId="7" fillId="5" borderId="5" xfId="0" applyNumberFormat="1" applyFont="1" applyFill="1" applyBorder="1" applyAlignment="1">
      <alignment horizontal="center" wrapText="1"/>
    </xf>
    <xf numFmtId="0" fontId="8" fillId="0" borderId="5" xfId="3" applyFont="1" applyBorder="1" applyAlignment="1">
      <alignment wrapText="1"/>
    </xf>
    <xf numFmtId="0" fontId="7" fillId="5" borderId="5" xfId="0" applyFont="1" applyFill="1" applyBorder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6" xfId="0" applyFont="1" applyBorder="1" applyAlignment="1">
      <alignment wrapText="1"/>
    </xf>
    <xf numFmtId="2" fontId="7" fillId="0" borderId="7" xfId="0" applyNumberFormat="1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3" borderId="10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165" fontId="7" fillId="5" borderId="8" xfId="0" applyNumberFormat="1" applyFont="1" applyFill="1" applyBorder="1" applyAlignment="1">
      <alignment wrapText="1"/>
    </xf>
    <xf numFmtId="165" fontId="7" fillId="0" borderId="4" xfId="0" applyNumberFormat="1" applyFont="1" applyBorder="1" applyAlignment="1">
      <alignment wrapText="1"/>
    </xf>
    <xf numFmtId="0" fontId="7" fillId="6" borderId="5" xfId="0" applyFont="1" applyFill="1" applyBorder="1" applyAlignment="1">
      <alignment wrapText="1"/>
    </xf>
    <xf numFmtId="165" fontId="7" fillId="0" borderId="0" xfId="1" applyNumberFormat="1" applyFont="1" applyBorder="1" applyAlignment="1">
      <alignment wrapText="1"/>
    </xf>
    <xf numFmtId="165" fontId="7" fillId="2" borderId="5" xfId="0" applyNumberFormat="1" applyFont="1" applyFill="1" applyBorder="1" applyAlignment="1">
      <alignment wrapText="1"/>
    </xf>
    <xf numFmtId="165" fontId="7" fillId="3" borderId="11" xfId="0" applyNumberFormat="1" applyFont="1" applyFill="1" applyBorder="1" applyAlignment="1">
      <alignment wrapText="1"/>
    </xf>
    <xf numFmtId="0" fontId="7" fillId="4" borderId="6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wrapText="1"/>
    </xf>
    <xf numFmtId="0" fontId="9" fillId="0" borderId="0" xfId="0" applyFont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/>
    </xf>
    <xf numFmtId="165" fontId="7" fillId="0" borderId="0" xfId="0" applyNumberFormat="1" applyFont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wrapText="1"/>
    </xf>
    <xf numFmtId="165" fontId="7" fillId="2" borderId="0" xfId="0" applyNumberFormat="1" applyFont="1" applyFill="1" applyAlignment="1">
      <alignment wrapText="1"/>
    </xf>
    <xf numFmtId="165" fontId="7" fillId="0" borderId="0" xfId="0" applyNumberFormat="1" applyFont="1" applyAlignment="1">
      <alignment wrapText="1"/>
    </xf>
    <xf numFmtId="165" fontId="7" fillId="6" borderId="0" xfId="0" applyNumberFormat="1" applyFont="1" applyFill="1" applyAlignment="1">
      <alignment wrapText="1"/>
    </xf>
    <xf numFmtId="0" fontId="7" fillId="5" borderId="0" xfId="0" applyFont="1" applyFill="1" applyAlignment="1">
      <alignment wrapText="1"/>
    </xf>
    <xf numFmtId="165" fontId="7" fillId="5" borderId="0" xfId="0" applyNumberFormat="1" applyFont="1" applyFill="1" applyAlignment="1">
      <alignment wrapText="1"/>
    </xf>
    <xf numFmtId="0" fontId="7" fillId="11" borderId="4" xfId="0" applyFont="1" applyFill="1" applyBorder="1" applyAlignment="1">
      <alignment wrapText="1"/>
    </xf>
    <xf numFmtId="0" fontId="7" fillId="11" borderId="5" xfId="0" applyFont="1" applyFill="1" applyBorder="1" applyAlignment="1">
      <alignment wrapText="1"/>
    </xf>
    <xf numFmtId="0" fontId="7" fillId="4" borderId="5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wrapText="1"/>
    </xf>
    <xf numFmtId="0" fontId="7" fillId="12" borderId="9" xfId="0" applyFont="1" applyFill="1" applyBorder="1" applyAlignment="1">
      <alignment wrapText="1"/>
    </xf>
    <xf numFmtId="0" fontId="7" fillId="12" borderId="14" xfId="0" applyFont="1" applyFill="1" applyBorder="1" applyAlignment="1">
      <alignment wrapText="1"/>
    </xf>
    <xf numFmtId="0" fontId="7" fillId="12" borderId="12" xfId="0" applyFont="1" applyFill="1" applyBorder="1" applyAlignment="1">
      <alignment wrapText="1"/>
    </xf>
    <xf numFmtId="0" fontId="7" fillId="12" borderId="16" xfId="0" applyFont="1" applyFill="1" applyBorder="1" applyAlignment="1">
      <alignment wrapText="1"/>
    </xf>
    <xf numFmtId="1" fontId="7" fillId="0" borderId="0" xfId="0" applyNumberFormat="1" applyFont="1" applyAlignment="1">
      <alignment wrapText="1"/>
    </xf>
    <xf numFmtId="0" fontId="6" fillId="0" borderId="0" xfId="4" applyAlignment="1">
      <alignment wrapText="1"/>
    </xf>
    <xf numFmtId="165" fontId="7" fillId="13" borderId="0" xfId="0" applyNumberFormat="1" applyFont="1" applyFill="1" applyAlignment="1">
      <alignment vertical="center" wrapText="1"/>
    </xf>
    <xf numFmtId="0" fontId="7" fillId="13" borderId="9" xfId="0" applyFont="1" applyFill="1" applyBorder="1" applyAlignment="1">
      <alignment wrapText="1"/>
    </xf>
    <xf numFmtId="165" fontId="7" fillId="13" borderId="0" xfId="1" applyNumberFormat="1" applyFont="1" applyFill="1" applyBorder="1" applyAlignment="1">
      <alignment wrapText="1"/>
    </xf>
    <xf numFmtId="165" fontId="7" fillId="13" borderId="0" xfId="0" applyNumberFormat="1" applyFont="1" applyFill="1" applyAlignment="1">
      <alignment wrapText="1"/>
    </xf>
    <xf numFmtId="166" fontId="7" fillId="13" borderId="0" xfId="0" applyNumberFormat="1" applyFont="1" applyFill="1" applyAlignment="1">
      <alignment wrapText="1"/>
    </xf>
    <xf numFmtId="165" fontId="7" fillId="13" borderId="12" xfId="0" applyNumberFormat="1" applyFont="1" applyFill="1" applyBorder="1" applyAlignment="1">
      <alignment wrapText="1"/>
    </xf>
    <xf numFmtId="165" fontId="7" fillId="6" borderId="0" xfId="0" applyNumberFormat="1" applyFont="1" applyFill="1" applyAlignment="1">
      <alignment vertical="top" wrapText="1"/>
    </xf>
    <xf numFmtId="17" fontId="7" fillId="13" borderId="0" xfId="0" applyNumberFormat="1" applyFont="1" applyFill="1" applyAlignment="1">
      <alignment wrapText="1"/>
    </xf>
    <xf numFmtId="0" fontId="7" fillId="13" borderId="0" xfId="0" applyFont="1" applyFill="1" applyAlignment="1">
      <alignment wrapText="1"/>
    </xf>
    <xf numFmtId="165" fontId="7" fillId="13" borderId="5" xfId="0" applyNumberFormat="1" applyFont="1" applyFill="1" applyBorder="1" applyAlignment="1">
      <alignment wrapText="1"/>
    </xf>
    <xf numFmtId="166" fontId="7" fillId="13" borderId="5" xfId="0" applyNumberFormat="1" applyFont="1" applyFill="1" applyBorder="1" applyAlignment="1">
      <alignment wrapText="1"/>
    </xf>
    <xf numFmtId="166" fontId="7" fillId="13" borderId="8" xfId="0" applyNumberFormat="1" applyFont="1" applyFill="1" applyBorder="1" applyAlignment="1">
      <alignment wrapText="1"/>
    </xf>
    <xf numFmtId="0" fontId="7" fillId="13" borderId="5" xfId="0" applyFont="1" applyFill="1" applyBorder="1" applyAlignment="1">
      <alignment wrapText="1"/>
    </xf>
    <xf numFmtId="0" fontId="7" fillId="13" borderId="8" xfId="0" applyFont="1" applyFill="1" applyBorder="1" applyAlignment="1">
      <alignment wrapText="1"/>
    </xf>
    <xf numFmtId="165" fontId="7" fillId="7" borderId="3" xfId="0" applyNumberFormat="1" applyFont="1" applyFill="1" applyBorder="1" applyAlignment="1">
      <alignment horizontal="right" vertical="top" wrapText="1"/>
    </xf>
    <xf numFmtId="0" fontId="7" fillId="8" borderId="25" xfId="0" applyFont="1" applyFill="1" applyBorder="1" applyAlignment="1">
      <alignment wrapText="1"/>
    </xf>
    <xf numFmtId="0" fontId="7" fillId="8" borderId="26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16" xfId="0" applyFont="1" applyFill="1" applyBorder="1" applyAlignment="1">
      <alignment wrapText="1"/>
    </xf>
    <xf numFmtId="0" fontId="7" fillId="13" borderId="20" xfId="0" applyFont="1" applyFill="1" applyBorder="1" applyAlignment="1">
      <alignment wrapText="1"/>
    </xf>
    <xf numFmtId="0" fontId="7" fillId="13" borderId="28" xfId="0" applyFont="1" applyFill="1" applyBorder="1" applyAlignment="1">
      <alignment wrapText="1"/>
    </xf>
    <xf numFmtId="0" fontId="7" fillId="13" borderId="12" xfId="0" applyFont="1" applyFill="1" applyBorder="1" applyAlignment="1">
      <alignment wrapText="1"/>
    </xf>
    <xf numFmtId="0" fontId="7" fillId="13" borderId="22" xfId="0" applyFont="1" applyFill="1" applyBorder="1" applyAlignment="1">
      <alignment wrapText="1"/>
    </xf>
    <xf numFmtId="0" fontId="7" fillId="13" borderId="14" xfId="0" applyFont="1" applyFill="1" applyBorder="1" applyAlignment="1">
      <alignment wrapText="1"/>
    </xf>
    <xf numFmtId="0" fontId="10" fillId="13" borderId="19" xfId="0" applyFont="1" applyFill="1" applyBorder="1" applyAlignment="1">
      <alignment wrapText="1"/>
    </xf>
    <xf numFmtId="0" fontId="7" fillId="0" borderId="0" xfId="0" applyFont="1" applyAlignment="1">
      <alignment horizontal="center" wrapText="1"/>
    </xf>
    <xf numFmtId="0" fontId="10" fillId="10" borderId="17" xfId="0" applyFont="1" applyFill="1" applyBorder="1" applyAlignment="1">
      <alignment horizontal="center" wrapText="1"/>
    </xf>
    <xf numFmtId="0" fontId="10" fillId="10" borderId="18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165" fontId="7" fillId="6" borderId="20" xfId="0" applyNumberFormat="1" applyFont="1" applyFill="1" applyBorder="1" applyAlignment="1">
      <alignment horizontal="center" vertical="center" wrapText="1"/>
    </xf>
    <xf numFmtId="165" fontId="7" fillId="6" borderId="21" xfId="0" applyNumberFormat="1" applyFont="1" applyFill="1" applyBorder="1" applyAlignment="1">
      <alignment horizontal="center" vertical="center" wrapText="1"/>
    </xf>
    <xf numFmtId="165" fontId="7" fillId="6" borderId="24" xfId="0" applyNumberFormat="1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wrapText="1"/>
    </xf>
    <xf numFmtId="0" fontId="7" fillId="5" borderId="7" xfId="0" applyFont="1" applyFill="1" applyBorder="1" applyAlignment="1">
      <alignment horizontal="center" wrapText="1"/>
    </xf>
    <xf numFmtId="165" fontId="7" fillId="6" borderId="5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vertical="center" wrapText="1"/>
    </xf>
    <xf numFmtId="0" fontId="7" fillId="5" borderId="4" xfId="0" applyFont="1" applyFill="1" applyBorder="1" applyAlignment="1">
      <alignment horizontal="center" wrapText="1"/>
    </xf>
    <xf numFmtId="0" fontId="7" fillId="5" borderId="0" xfId="0" applyFont="1" applyFill="1" applyAlignment="1">
      <alignment horizontal="center" wrapText="1"/>
    </xf>
    <xf numFmtId="165" fontId="7" fillId="5" borderId="4" xfId="0" applyNumberFormat="1" applyFont="1" applyFill="1" applyBorder="1" applyAlignment="1">
      <alignment horizontal="center" wrapText="1"/>
    </xf>
    <xf numFmtId="165" fontId="7" fillId="5" borderId="0" xfId="0" applyNumberFormat="1" applyFont="1" applyFill="1" applyAlignment="1">
      <alignment horizontal="center" wrapText="1"/>
    </xf>
    <xf numFmtId="165" fontId="12" fillId="2" borderId="5" xfId="0" applyNumberFormat="1" applyFont="1" applyFill="1" applyBorder="1" applyAlignment="1">
      <alignment horizontal="center" vertical="center" wrapText="1"/>
    </xf>
    <xf numFmtId="165" fontId="7" fillId="6" borderId="22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165" fontId="13" fillId="7" borderId="1" xfId="0" applyNumberFormat="1" applyFont="1" applyFill="1" applyBorder="1" applyAlignment="1">
      <alignment horizontal="center" wrapText="1"/>
    </xf>
    <xf numFmtId="165" fontId="13" fillId="7" borderId="2" xfId="0" applyNumberFormat="1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wrapText="1"/>
    </xf>
    <xf numFmtId="0" fontId="7" fillId="13" borderId="0" xfId="0" applyFont="1" applyFill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wrapText="1"/>
    </xf>
    <xf numFmtId="0" fontId="7" fillId="8" borderId="9" xfId="0" applyFont="1" applyFill="1" applyBorder="1" applyAlignment="1">
      <alignment horizontal="center" wrapText="1"/>
    </xf>
    <xf numFmtId="0" fontId="7" fillId="3" borderId="10" xfId="0" applyFont="1" applyFill="1" applyBorder="1" applyAlignment="1">
      <alignment horizontal="center" wrapText="1"/>
    </xf>
    <xf numFmtId="0" fontId="7" fillId="3" borderId="9" xfId="0" applyFont="1" applyFill="1" applyBorder="1" applyAlignment="1">
      <alignment horizont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6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13" fillId="7" borderId="4" xfId="0" applyFont="1" applyFill="1" applyBorder="1" applyAlignment="1">
      <alignment horizontal="center" wrapText="1"/>
    </xf>
    <xf numFmtId="0" fontId="13" fillId="7" borderId="0" xfId="0" applyFont="1" applyFill="1" applyAlignment="1">
      <alignment horizontal="center" wrapText="1"/>
    </xf>
    <xf numFmtId="0" fontId="13" fillId="7" borderId="5" xfId="0" applyFont="1" applyFill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4" borderId="0" xfId="0" applyFont="1" applyFill="1" applyAlignment="1">
      <alignment horizontal="center" wrapText="1"/>
    </xf>
    <xf numFmtId="0" fontId="11" fillId="4" borderId="5" xfId="0" applyFont="1" applyFill="1" applyBorder="1" applyAlignment="1">
      <alignment horizont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11" borderId="0" xfId="0" applyFont="1" applyFill="1" applyAlignment="1">
      <alignment horizontal="center" wrapText="1"/>
    </xf>
    <xf numFmtId="0" fontId="7" fillId="12" borderId="10" xfId="0" applyFont="1" applyFill="1" applyBorder="1" applyAlignment="1">
      <alignment horizontal="center" wrapText="1"/>
    </xf>
    <xf numFmtId="0" fontId="7" fillId="12" borderId="9" xfId="0" applyFont="1" applyFill="1" applyBorder="1" applyAlignment="1">
      <alignment horizontal="center" wrapText="1"/>
    </xf>
    <xf numFmtId="0" fontId="7" fillId="12" borderId="14" xfId="0" applyFont="1" applyFill="1" applyBorder="1" applyAlignment="1">
      <alignment horizontal="center" wrapText="1"/>
    </xf>
    <xf numFmtId="0" fontId="10" fillId="4" borderId="4" xfId="0" applyFont="1" applyFill="1" applyBorder="1" applyAlignment="1">
      <alignment horizontal="center" wrapText="1"/>
    </xf>
    <xf numFmtId="0" fontId="10" fillId="4" borderId="0" xfId="0" applyFont="1" applyFill="1" applyAlignment="1">
      <alignment horizontal="center" wrapText="1"/>
    </xf>
    <xf numFmtId="0" fontId="10" fillId="4" borderId="5" xfId="0" applyFont="1" applyFill="1" applyBorder="1" applyAlignment="1">
      <alignment horizontal="center" wrapText="1"/>
    </xf>
    <xf numFmtId="0" fontId="10" fillId="8" borderId="13" xfId="0" applyFont="1" applyFill="1" applyBorder="1" applyAlignment="1">
      <alignment horizontal="center" vertical="center" wrapText="1"/>
    </xf>
    <xf numFmtId="0" fontId="10" fillId="8" borderId="15" xfId="0" applyFont="1" applyFill="1" applyBorder="1" applyAlignment="1">
      <alignment horizontal="center" vertical="center" wrapText="1"/>
    </xf>
    <xf numFmtId="0" fontId="10" fillId="9" borderId="27" xfId="0" applyFont="1" applyFill="1" applyBorder="1" applyAlignment="1">
      <alignment horizontal="center" vertical="center" wrapText="1"/>
    </xf>
    <xf numFmtId="0" fontId="10" fillId="9" borderId="30" xfId="0" applyFont="1" applyFill="1" applyBorder="1" applyAlignment="1">
      <alignment horizontal="center" vertical="center" wrapText="1"/>
    </xf>
  </cellXfs>
  <cellStyles count="5">
    <cellStyle name="Hyperlink" xfId="4" xr:uid="{00000000-000B-0000-0000-000008000000}"/>
    <cellStyle name="Lien hypertexte" xfId="3" builtinId="8"/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</xdr:rowOff>
    </xdr:from>
    <xdr:to>
      <xdr:col>0</xdr:col>
      <xdr:colOff>304800</xdr:colOff>
      <xdr:row>1</xdr:row>
      <xdr:rowOff>2</xdr:rowOff>
    </xdr:to>
    <xdr:pic>
      <xdr:nvPicPr>
        <xdr:cNvPr id="2" name="Graphisme 3" descr="Argent">
          <a:extLst>
            <a:ext uri="{FF2B5EF4-FFF2-40B4-BE49-F238E27FC236}">
              <a16:creationId xmlns:a16="http://schemas.microsoft.com/office/drawing/2014/main" id="{485EDD2D-F06B-DB42-8312-19E16EB21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2"/>
          <a:ext cx="228600" cy="368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69A5-72C6-2243-9DA8-3ACB4559784B}">
  <dimension ref="A1:P36"/>
  <sheetViews>
    <sheetView tabSelected="1" topLeftCell="D18" zoomScale="70" zoomScaleNormal="70" workbookViewId="0">
      <selection activeCell="L32" sqref="L32"/>
    </sheetView>
  </sheetViews>
  <sheetFormatPr defaultColWidth="11" defaultRowHeight="15.6"/>
  <cols>
    <col min="4" max="4" width="10.375" customWidth="1"/>
    <col min="5" max="5" width="12" customWidth="1"/>
    <col min="7" max="7" width="11.875" bestFit="1" customWidth="1"/>
    <col min="8" max="8" width="1" customWidth="1"/>
    <col min="9" max="9" width="12.375" customWidth="1"/>
    <col min="10" max="10" width="14.875" customWidth="1"/>
    <col min="11" max="11" width="12.875" customWidth="1"/>
    <col min="12" max="12" width="18.625" customWidth="1"/>
    <col min="13" max="13" width="0.875" customWidth="1"/>
    <col min="14" max="14" width="25.875" customWidth="1"/>
    <col min="15" max="15" width="35.875" customWidth="1"/>
    <col min="16" max="16" width="35.5" customWidth="1"/>
  </cols>
  <sheetData>
    <row r="1" spans="1:16" s="3" customFormat="1" ht="29.1" customHeight="1" thickBot="1">
      <c r="A1" s="103" t="s">
        <v>0</v>
      </c>
      <c r="B1" s="104"/>
      <c r="C1" s="104"/>
      <c r="D1" s="104"/>
      <c r="E1" s="104"/>
      <c r="F1" s="104"/>
      <c r="G1" s="105"/>
      <c r="H1" s="1"/>
      <c r="I1" s="125" t="s">
        <v>1</v>
      </c>
      <c r="J1" s="126"/>
      <c r="K1" s="126"/>
      <c r="L1" s="127"/>
      <c r="M1" s="2"/>
      <c r="N1" s="116" t="s">
        <v>2</v>
      </c>
      <c r="O1" s="117"/>
      <c r="P1" s="118"/>
    </row>
    <row r="2" spans="1:16" s="9" customFormat="1" ht="27" customHeight="1">
      <c r="A2" s="4"/>
      <c r="B2" s="36"/>
      <c r="C2" s="36"/>
      <c r="D2" s="36"/>
      <c r="E2" s="106" t="s">
        <v>3</v>
      </c>
      <c r="F2" s="107"/>
      <c r="G2" s="108"/>
      <c r="H2" s="5"/>
      <c r="I2" s="6" t="s">
        <v>4</v>
      </c>
      <c r="J2" s="7" t="s">
        <v>5</v>
      </c>
      <c r="K2" s="7" t="s">
        <v>4</v>
      </c>
      <c r="L2" s="8"/>
      <c r="N2" s="123" t="s">
        <v>6</v>
      </c>
      <c r="O2" s="124"/>
      <c r="P2" s="49" t="s">
        <v>7</v>
      </c>
    </row>
    <row r="3" spans="1:16" s="9" customFormat="1" ht="12.75">
      <c r="A3" s="111" t="s">
        <v>8</v>
      </c>
      <c r="B3" s="96"/>
      <c r="C3" s="37">
        <f>C4+C5</f>
        <v>2000</v>
      </c>
      <c r="D3" s="38"/>
      <c r="E3" s="97" t="s">
        <v>9</v>
      </c>
      <c r="F3" s="98"/>
      <c r="G3" s="11">
        <f>C3+C6</f>
        <v>2000</v>
      </c>
      <c r="I3" s="12" t="s">
        <v>10</v>
      </c>
      <c r="K3" s="9" t="s">
        <v>10</v>
      </c>
      <c r="L3" s="10"/>
      <c r="N3" s="147" t="s">
        <v>11</v>
      </c>
      <c r="O3" s="58"/>
      <c r="P3" s="13" t="s">
        <v>12</v>
      </c>
    </row>
    <row r="4" spans="1:16" s="9" customFormat="1" ht="12.75">
      <c r="A4" s="114" t="s">
        <v>13</v>
      </c>
      <c r="B4" s="115"/>
      <c r="C4" s="57">
        <v>2000</v>
      </c>
      <c r="D4" s="38"/>
      <c r="E4" s="97" t="s">
        <v>14</v>
      </c>
      <c r="F4" s="98"/>
      <c r="G4" s="11">
        <f>C13+C34</f>
        <v>0</v>
      </c>
      <c r="I4" s="12" t="s">
        <v>15</v>
      </c>
      <c r="J4" s="14">
        <v>34700</v>
      </c>
      <c r="K4" s="9" t="s">
        <v>16</v>
      </c>
      <c r="L4" s="14">
        <v>34700</v>
      </c>
      <c r="N4" s="148"/>
      <c r="O4" s="58"/>
      <c r="P4" s="13" t="s">
        <v>17</v>
      </c>
    </row>
    <row r="5" spans="1:16" s="9" customFormat="1" ht="12.75">
      <c r="A5" s="114" t="s">
        <v>18</v>
      </c>
      <c r="B5" s="115"/>
      <c r="C5" s="57"/>
      <c r="D5" s="38"/>
      <c r="E5" s="97" t="s">
        <v>19</v>
      </c>
      <c r="F5" s="98"/>
      <c r="G5" s="15">
        <f>G4/G3</f>
        <v>0</v>
      </c>
      <c r="I5" s="12" t="s">
        <v>20</v>
      </c>
      <c r="K5" s="16" t="s">
        <v>21</v>
      </c>
      <c r="L5" s="10">
        <v>1</v>
      </c>
      <c r="N5" s="148"/>
      <c r="O5" s="58"/>
      <c r="P5" s="13" t="s">
        <v>22</v>
      </c>
    </row>
    <row r="6" spans="1:16" s="9" customFormat="1" ht="12.75">
      <c r="A6" s="111" t="s">
        <v>23</v>
      </c>
      <c r="B6" s="96"/>
      <c r="C6" s="37">
        <f>C8+C9</f>
        <v>0</v>
      </c>
      <c r="D6" s="101" t="s">
        <v>24</v>
      </c>
      <c r="E6" s="97" t="s">
        <v>25</v>
      </c>
      <c r="F6" s="98"/>
      <c r="G6" s="11">
        <f>G3*35%</f>
        <v>700</v>
      </c>
      <c r="I6" s="12" t="s">
        <v>26</v>
      </c>
      <c r="K6" s="16" t="s">
        <v>27</v>
      </c>
      <c r="L6" s="10" t="s">
        <v>28</v>
      </c>
      <c r="N6" s="148"/>
      <c r="O6" s="58"/>
      <c r="P6" s="13" t="s">
        <v>29</v>
      </c>
    </row>
    <row r="7" spans="1:16" s="9" customFormat="1" ht="12.95" customHeight="1">
      <c r="A7" s="17"/>
      <c r="B7" s="39" t="s">
        <v>30</v>
      </c>
      <c r="C7" s="40" t="s">
        <v>31</v>
      </c>
      <c r="D7" s="101"/>
      <c r="E7" s="97" t="s">
        <v>32</v>
      </c>
      <c r="F7" s="98"/>
      <c r="G7" s="11">
        <f>G6-C13</f>
        <v>700</v>
      </c>
      <c r="I7" s="12" t="s">
        <v>33</v>
      </c>
      <c r="K7" s="16" t="s">
        <v>34</v>
      </c>
      <c r="L7" s="10"/>
      <c r="N7" s="148"/>
      <c r="O7" s="58"/>
      <c r="P7" s="13" t="s">
        <v>35</v>
      </c>
    </row>
    <row r="8" spans="1:16" s="9" customFormat="1" ht="12.75">
      <c r="A8" s="17" t="s">
        <v>36</v>
      </c>
      <c r="B8" s="57"/>
      <c r="C8" s="38">
        <f>B8*80%</f>
        <v>0</v>
      </c>
      <c r="D8" s="93"/>
      <c r="E8" s="112" t="s">
        <v>37</v>
      </c>
      <c r="F8" s="113"/>
      <c r="G8" s="66">
        <f>G3+C10-C13-C21-C29-C34-G29-F23</f>
        <v>1900</v>
      </c>
      <c r="I8" s="12" t="s">
        <v>38</v>
      </c>
      <c r="J8" s="55"/>
      <c r="K8" s="9" t="s">
        <v>38</v>
      </c>
      <c r="L8" s="10"/>
      <c r="N8" s="148"/>
      <c r="O8" s="58"/>
      <c r="P8" s="13" t="s">
        <v>39</v>
      </c>
    </row>
    <row r="9" spans="1:16" s="9" customFormat="1" ht="15.75">
      <c r="A9" s="17" t="s">
        <v>40</v>
      </c>
      <c r="B9" s="57"/>
      <c r="C9" s="38">
        <f>B9*80%</f>
        <v>0</v>
      </c>
      <c r="D9" s="93"/>
      <c r="E9" s="99" t="s">
        <v>41</v>
      </c>
      <c r="F9" s="100"/>
      <c r="G9" s="18">
        <f>(G14-E14)+(G15-E15)+(G16-E16)+G23</f>
        <v>0</v>
      </c>
      <c r="I9" s="12" t="s">
        <v>42</v>
      </c>
      <c r="J9" s="56"/>
      <c r="K9" s="9" t="s">
        <v>42</v>
      </c>
      <c r="L9" s="19"/>
      <c r="N9" s="148"/>
      <c r="O9" s="76"/>
      <c r="P9" s="72" t="s">
        <v>43</v>
      </c>
    </row>
    <row r="10" spans="1:16" s="9" customFormat="1" ht="12.95" customHeight="1">
      <c r="A10" s="85" t="s">
        <v>44</v>
      </c>
      <c r="B10" s="86"/>
      <c r="C10" s="42"/>
      <c r="D10" s="43"/>
      <c r="E10" s="97" t="s">
        <v>45</v>
      </c>
      <c r="F10" s="98"/>
      <c r="G10" s="20">
        <f>L32-2024</f>
        <v>16</v>
      </c>
      <c r="H10" s="21"/>
      <c r="I10" s="22" t="s">
        <v>46</v>
      </c>
      <c r="J10" s="23"/>
      <c r="K10" s="24" t="s">
        <v>46</v>
      </c>
      <c r="L10" s="25"/>
      <c r="N10" s="149" t="s">
        <v>47</v>
      </c>
      <c r="O10" s="77"/>
      <c r="P10" s="74" t="s">
        <v>48</v>
      </c>
    </row>
    <row r="11" spans="1:16" s="9" customFormat="1" ht="12.95" customHeight="1">
      <c r="A11" s="26" t="s">
        <v>49</v>
      </c>
      <c r="B11" s="58"/>
      <c r="C11" s="27"/>
      <c r="E11" s="91" t="s">
        <v>50</v>
      </c>
      <c r="F11" s="92"/>
      <c r="G11" s="28">
        <f>(C3+C6)-C13</f>
        <v>2000</v>
      </c>
      <c r="H11" s="21"/>
      <c r="I11" s="109" t="s">
        <v>51</v>
      </c>
      <c r="J11" s="110"/>
      <c r="K11" s="110"/>
      <c r="L11" s="71" t="s">
        <v>52</v>
      </c>
      <c r="N11" s="150"/>
      <c r="O11" s="78"/>
      <c r="P11" s="75" t="s">
        <v>53</v>
      </c>
    </row>
    <row r="12" spans="1:16" s="9" customFormat="1" ht="12.95" customHeight="1">
      <c r="A12" s="12"/>
      <c r="E12" s="83" t="s">
        <v>54</v>
      </c>
      <c r="F12" s="84"/>
      <c r="G12" s="81"/>
      <c r="H12" s="21"/>
      <c r="I12" s="29" t="s">
        <v>55</v>
      </c>
      <c r="J12" s="82" t="s">
        <v>56</v>
      </c>
      <c r="K12" s="82"/>
      <c r="L12" s="69"/>
      <c r="N12" s="148" t="s">
        <v>57</v>
      </c>
      <c r="O12" s="79"/>
      <c r="P12" s="73" t="s">
        <v>58</v>
      </c>
    </row>
    <row r="13" spans="1:16" s="9" customFormat="1" ht="12.95" customHeight="1">
      <c r="A13" s="85" t="s">
        <v>59</v>
      </c>
      <c r="B13" s="86"/>
      <c r="C13" s="42">
        <f>SUM(C14:C20)</f>
        <v>0</v>
      </c>
      <c r="D13" s="44" t="s">
        <v>60</v>
      </c>
      <c r="E13" s="63" t="s">
        <v>61</v>
      </c>
      <c r="F13" s="44" t="s">
        <v>62</v>
      </c>
      <c r="G13" s="30" t="s">
        <v>63</v>
      </c>
      <c r="I13" s="12"/>
      <c r="J13" s="82" t="s">
        <v>64</v>
      </c>
      <c r="K13" s="82"/>
      <c r="L13" s="69"/>
      <c r="N13" s="148"/>
      <c r="O13" s="76"/>
      <c r="P13" s="72" t="s">
        <v>65</v>
      </c>
    </row>
    <row r="14" spans="1:16" s="9" customFormat="1" ht="12.75">
      <c r="A14" s="87" t="s">
        <v>66</v>
      </c>
      <c r="B14" s="82"/>
      <c r="C14" s="59">
        <v>0</v>
      </c>
      <c r="D14" s="31"/>
      <c r="E14" s="31"/>
      <c r="F14" s="59"/>
      <c r="G14" s="10"/>
      <c r="I14" s="12"/>
      <c r="J14" s="82" t="s">
        <v>67</v>
      </c>
      <c r="K14" s="82"/>
      <c r="L14" s="69"/>
      <c r="N14" s="149" t="s">
        <v>68</v>
      </c>
      <c r="O14" s="77"/>
      <c r="P14" s="74" t="s">
        <v>69</v>
      </c>
    </row>
    <row r="15" spans="1:16" s="9" customFormat="1" ht="12.75">
      <c r="A15" s="87" t="s">
        <v>70</v>
      </c>
      <c r="B15" s="82"/>
      <c r="C15" s="59"/>
      <c r="D15" s="31"/>
      <c r="E15" s="31"/>
      <c r="F15" s="59"/>
      <c r="G15" s="10"/>
      <c r="I15" s="12"/>
      <c r="J15" s="82" t="s">
        <v>71</v>
      </c>
      <c r="K15" s="82"/>
      <c r="L15" s="69"/>
      <c r="N15" s="150"/>
      <c r="O15" s="78"/>
      <c r="P15" s="75" t="s">
        <v>72</v>
      </c>
    </row>
    <row r="16" spans="1:16" s="9" customFormat="1" ht="15.95" customHeight="1">
      <c r="A16" s="87" t="s">
        <v>73</v>
      </c>
      <c r="B16" s="82"/>
      <c r="C16" s="59"/>
      <c r="D16" s="31"/>
      <c r="E16" s="31"/>
      <c r="F16" s="59"/>
      <c r="G16" s="10"/>
      <c r="I16" s="12" t="s">
        <v>74</v>
      </c>
      <c r="J16" s="82" t="s">
        <v>75</v>
      </c>
      <c r="K16" s="82"/>
      <c r="L16" s="69"/>
      <c r="N16" s="135" t="s">
        <v>76</v>
      </c>
      <c r="O16" s="136"/>
      <c r="P16" s="50" t="s">
        <v>77</v>
      </c>
    </row>
    <row r="17" spans="1:16" s="9" customFormat="1" ht="12">
      <c r="A17" s="87" t="s">
        <v>78</v>
      </c>
      <c r="B17" s="82"/>
      <c r="C17" s="59"/>
      <c r="D17" s="31"/>
      <c r="F17" s="64"/>
      <c r="G17" s="10"/>
      <c r="I17" s="12"/>
      <c r="J17" s="82" t="s">
        <v>79</v>
      </c>
      <c r="K17" s="82"/>
      <c r="L17" s="69"/>
      <c r="N17" s="119" t="s">
        <v>80</v>
      </c>
      <c r="O17" s="120"/>
      <c r="P17" s="80"/>
    </row>
    <row r="18" spans="1:16" s="9" customFormat="1" ht="12">
      <c r="A18" s="87" t="s">
        <v>78</v>
      </c>
      <c r="B18" s="82"/>
      <c r="C18" s="59"/>
      <c r="D18" s="31"/>
      <c r="F18" s="65"/>
      <c r="G18" s="10"/>
      <c r="I18" s="12"/>
      <c r="J18" s="82" t="s">
        <v>81</v>
      </c>
      <c r="K18" s="82"/>
      <c r="L18" s="69"/>
      <c r="N18" s="121" t="s">
        <v>82</v>
      </c>
      <c r="O18" s="122"/>
      <c r="P18" s="80"/>
    </row>
    <row r="19" spans="1:16" s="9" customFormat="1" ht="12">
      <c r="A19" s="87" t="s">
        <v>83</v>
      </c>
      <c r="B19" s="82"/>
      <c r="C19" s="59"/>
      <c r="D19" s="31"/>
      <c r="F19" s="65"/>
      <c r="G19" s="10"/>
      <c r="I19" s="12"/>
      <c r="J19" s="82" t="s">
        <v>84</v>
      </c>
      <c r="K19" s="82"/>
      <c r="L19" s="69"/>
      <c r="N19" s="119" t="s">
        <v>85</v>
      </c>
      <c r="O19" s="120"/>
      <c r="P19" s="80"/>
    </row>
    <row r="20" spans="1:16" s="9" customFormat="1" ht="12">
      <c r="A20" s="87" t="s">
        <v>83</v>
      </c>
      <c r="B20" s="82"/>
      <c r="C20" s="59"/>
      <c r="D20" s="31"/>
      <c r="F20" s="65"/>
      <c r="G20" s="10"/>
      <c r="I20" s="12" t="s">
        <v>86</v>
      </c>
      <c r="J20" s="82" t="s">
        <v>87</v>
      </c>
      <c r="K20" s="82"/>
      <c r="L20" s="69"/>
      <c r="N20" s="121" t="s">
        <v>88</v>
      </c>
      <c r="O20" s="122"/>
      <c r="P20" s="80"/>
    </row>
    <row r="21" spans="1:16" s="9" customFormat="1" ht="12.95" customHeight="1">
      <c r="A21" s="85" t="s">
        <v>89</v>
      </c>
      <c r="B21" s="86"/>
      <c r="C21" s="42">
        <f>SUM(C22:C28)</f>
        <v>100</v>
      </c>
      <c r="D21" s="88" t="s">
        <v>90</v>
      </c>
      <c r="E21" s="96" t="s">
        <v>91</v>
      </c>
      <c r="F21" s="86" t="s">
        <v>92</v>
      </c>
      <c r="G21" s="95"/>
      <c r="I21" s="12"/>
      <c r="J21" s="82" t="s">
        <v>93</v>
      </c>
      <c r="K21" s="82"/>
      <c r="L21" s="69"/>
      <c r="N21" s="119" t="s">
        <v>94</v>
      </c>
      <c r="O21" s="120"/>
      <c r="P21" s="80"/>
    </row>
    <row r="22" spans="1:16" s="9" customFormat="1" ht="12.95" customHeight="1">
      <c r="A22" s="87" t="s">
        <v>95</v>
      </c>
      <c r="B22" s="82"/>
      <c r="C22" s="60"/>
      <c r="D22" s="89"/>
      <c r="E22" s="96"/>
      <c r="F22" s="45" t="s">
        <v>96</v>
      </c>
      <c r="G22" s="20" t="s">
        <v>97</v>
      </c>
      <c r="I22" s="12"/>
      <c r="J22" s="82" t="s">
        <v>98</v>
      </c>
      <c r="K22" s="82"/>
      <c r="L22" s="69"/>
      <c r="N22" s="144" t="s">
        <v>99</v>
      </c>
      <c r="O22" s="145"/>
      <c r="P22" s="146"/>
    </row>
    <row r="23" spans="1:16" s="9" customFormat="1" ht="12.95" customHeight="1">
      <c r="A23" s="87" t="s">
        <v>100</v>
      </c>
      <c r="B23" s="82"/>
      <c r="C23" s="60"/>
      <c r="D23" s="89"/>
      <c r="E23" s="96"/>
      <c r="F23" s="46">
        <f>SUM(F24:F28)</f>
        <v>0</v>
      </c>
      <c r="G23" s="11">
        <f>SUM(G24:G28)</f>
        <v>0</v>
      </c>
      <c r="I23" s="12"/>
      <c r="J23" s="82" t="s">
        <v>101</v>
      </c>
      <c r="K23" s="82"/>
      <c r="L23" s="69"/>
      <c r="N23" s="141" t="s">
        <v>102</v>
      </c>
      <c r="O23" s="142"/>
      <c r="P23" s="143"/>
    </row>
    <row r="24" spans="1:16" s="9" customFormat="1" ht="12.95" customHeight="1">
      <c r="A24" s="87" t="s">
        <v>103</v>
      </c>
      <c r="B24" s="82"/>
      <c r="C24" s="60">
        <v>100</v>
      </c>
      <c r="D24" s="89"/>
      <c r="E24" s="9" t="s">
        <v>104</v>
      </c>
      <c r="F24" s="43"/>
      <c r="G24" s="66"/>
      <c r="I24" s="12" t="s">
        <v>105</v>
      </c>
      <c r="J24" s="82" t="s">
        <v>106</v>
      </c>
      <c r="K24" s="82"/>
      <c r="L24" s="69"/>
      <c r="N24" s="141" t="s">
        <v>107</v>
      </c>
      <c r="O24" s="142"/>
      <c r="P24" s="143"/>
    </row>
    <row r="25" spans="1:16" s="9" customFormat="1" ht="12.95" customHeight="1">
      <c r="A25" s="87" t="s">
        <v>108</v>
      </c>
      <c r="B25" s="82"/>
      <c r="C25" s="60"/>
      <c r="D25" s="89"/>
      <c r="E25" s="9" t="s">
        <v>109</v>
      </c>
      <c r="F25" s="43"/>
      <c r="G25" s="66"/>
      <c r="I25" s="12"/>
      <c r="J25" s="82" t="s">
        <v>110</v>
      </c>
      <c r="K25" s="82"/>
      <c r="L25" s="69"/>
      <c r="N25" s="141" t="s">
        <v>111</v>
      </c>
      <c r="O25" s="142"/>
      <c r="P25" s="143"/>
    </row>
    <row r="26" spans="1:16" s="9" customFormat="1" ht="12.95" customHeight="1">
      <c r="A26" s="87" t="s">
        <v>112</v>
      </c>
      <c r="B26" s="82"/>
      <c r="C26" s="60"/>
      <c r="D26" s="89"/>
      <c r="E26" s="9" t="s">
        <v>113</v>
      </c>
      <c r="F26" s="43"/>
      <c r="G26" s="66"/>
      <c r="I26" s="12"/>
      <c r="J26" s="82" t="s">
        <v>114</v>
      </c>
      <c r="K26" s="82"/>
      <c r="L26" s="69"/>
      <c r="N26" s="135" t="s">
        <v>115</v>
      </c>
      <c r="O26" s="136"/>
      <c r="P26" s="137"/>
    </row>
    <row r="27" spans="1:16" s="9" customFormat="1" ht="12.95" customHeight="1">
      <c r="A27" s="87" t="s">
        <v>116</v>
      </c>
      <c r="B27" s="82"/>
      <c r="C27" s="60"/>
      <c r="D27" s="89"/>
      <c r="E27" s="9" t="s">
        <v>117</v>
      </c>
      <c r="F27" s="43"/>
      <c r="G27" s="66"/>
      <c r="I27" s="12" t="s">
        <v>118</v>
      </c>
      <c r="J27" s="82" t="s">
        <v>119</v>
      </c>
      <c r="K27" s="82"/>
      <c r="L27" s="69"/>
      <c r="N27" s="138" t="s">
        <v>120</v>
      </c>
      <c r="O27" s="51" t="s">
        <v>121</v>
      </c>
      <c r="P27" s="52" t="s">
        <v>122</v>
      </c>
    </row>
    <row r="28" spans="1:16" s="9" customFormat="1" ht="12.95" customHeight="1">
      <c r="A28" s="87" t="s">
        <v>123</v>
      </c>
      <c r="B28" s="82"/>
      <c r="C28" s="60"/>
      <c r="D28" s="89"/>
      <c r="E28" s="9" t="s">
        <v>124</v>
      </c>
      <c r="F28" s="43"/>
      <c r="G28" s="66"/>
      <c r="I28" s="12"/>
      <c r="J28" s="82" t="s">
        <v>125</v>
      </c>
      <c r="K28" s="82"/>
      <c r="L28" s="69"/>
      <c r="N28" s="138"/>
      <c r="O28" s="51" t="s">
        <v>126</v>
      </c>
      <c r="P28" s="52" t="s">
        <v>127</v>
      </c>
    </row>
    <row r="29" spans="1:16" s="9" customFormat="1" ht="12.95" customHeight="1">
      <c r="A29" s="85" t="s">
        <v>128</v>
      </c>
      <c r="B29" s="86"/>
      <c r="C29" s="42">
        <f>SUM(C30:C33)</f>
        <v>0</v>
      </c>
      <c r="D29" s="102"/>
      <c r="E29" s="41" t="s">
        <v>129</v>
      </c>
      <c r="F29" s="41"/>
      <c r="G29" s="32">
        <f>SUM(G30:G35)</f>
        <v>0</v>
      </c>
      <c r="I29" s="12"/>
      <c r="J29" s="82" t="s">
        <v>130</v>
      </c>
      <c r="K29" s="82"/>
      <c r="L29" s="69"/>
      <c r="N29" s="139" t="s">
        <v>131</v>
      </c>
      <c r="O29" s="51" t="s">
        <v>132</v>
      </c>
      <c r="P29" s="52" t="s">
        <v>133</v>
      </c>
    </row>
    <row r="30" spans="1:16" s="9" customFormat="1" ht="12.95" customHeight="1">
      <c r="A30" s="87" t="s">
        <v>134</v>
      </c>
      <c r="B30" s="82"/>
      <c r="C30" s="61"/>
      <c r="D30" s="88" t="s">
        <v>135</v>
      </c>
      <c r="E30" s="82" t="s">
        <v>136</v>
      </c>
      <c r="F30" s="82"/>
      <c r="G30" s="67"/>
      <c r="I30" s="47" t="s">
        <v>137</v>
      </c>
      <c r="J30" s="140" t="s">
        <v>138</v>
      </c>
      <c r="K30" s="140"/>
      <c r="L30" s="48"/>
      <c r="N30" s="139"/>
      <c r="O30" s="51" t="s">
        <v>139</v>
      </c>
      <c r="P30" s="52" t="s">
        <v>140</v>
      </c>
    </row>
    <row r="31" spans="1:16" s="9" customFormat="1" ht="12.95" customHeight="1">
      <c r="A31" s="87" t="s">
        <v>141</v>
      </c>
      <c r="B31" s="82"/>
      <c r="C31" s="61"/>
      <c r="D31" s="89"/>
      <c r="E31" s="82" t="s">
        <v>142</v>
      </c>
      <c r="F31" s="82"/>
      <c r="G31" s="67"/>
      <c r="I31" s="132" t="s">
        <v>143</v>
      </c>
      <c r="J31" s="133"/>
      <c r="K31" s="133"/>
      <c r="L31" s="134"/>
      <c r="N31" s="139"/>
      <c r="O31" s="51" t="s">
        <v>144</v>
      </c>
      <c r="P31" s="52" t="s">
        <v>145</v>
      </c>
    </row>
    <row r="32" spans="1:16" s="9" customFormat="1" ht="12.95" customHeight="1">
      <c r="A32" s="87" t="s">
        <v>146</v>
      </c>
      <c r="B32" s="82"/>
      <c r="C32" s="61"/>
      <c r="D32" s="89"/>
      <c r="E32" s="82" t="s">
        <v>147</v>
      </c>
      <c r="F32" s="82"/>
      <c r="G32" s="67"/>
      <c r="I32" s="87" t="s">
        <v>148</v>
      </c>
      <c r="J32" s="82"/>
      <c r="L32" s="69">
        <v>2040</v>
      </c>
      <c r="N32" s="138" t="s">
        <v>149</v>
      </c>
      <c r="O32" s="51" t="s">
        <v>150</v>
      </c>
      <c r="P32" s="52" t="s">
        <v>151</v>
      </c>
    </row>
    <row r="33" spans="1:16" s="9" customFormat="1" ht="12.95" customHeight="1">
      <c r="A33" s="87" t="s">
        <v>152</v>
      </c>
      <c r="B33" s="82"/>
      <c r="C33" s="60"/>
      <c r="D33" s="89"/>
      <c r="E33" s="82" t="s">
        <v>153</v>
      </c>
      <c r="F33" s="82"/>
      <c r="G33" s="67"/>
      <c r="I33" s="128" t="s">
        <v>154</v>
      </c>
      <c r="J33" s="129"/>
      <c r="K33" s="129"/>
      <c r="L33" s="69"/>
      <c r="N33" s="138"/>
      <c r="O33" s="51" t="s">
        <v>155</v>
      </c>
      <c r="P33" s="52" t="s">
        <v>156</v>
      </c>
    </row>
    <row r="34" spans="1:16" s="9" customFormat="1" ht="12.95" customHeight="1">
      <c r="A34" s="85" t="s">
        <v>157</v>
      </c>
      <c r="B34" s="86"/>
      <c r="C34" s="42"/>
      <c r="D34" s="89"/>
      <c r="E34" s="82" t="s">
        <v>158</v>
      </c>
      <c r="F34" s="82"/>
      <c r="G34" s="67"/>
      <c r="I34" s="128" t="s">
        <v>159</v>
      </c>
      <c r="J34" s="129"/>
      <c r="K34" s="129"/>
      <c r="L34" s="69"/>
      <c r="N34" s="138"/>
      <c r="O34" s="51" t="s">
        <v>160</v>
      </c>
      <c r="P34" s="52"/>
    </row>
    <row r="35" spans="1:16" s="9" customFormat="1" ht="12.95" customHeight="1" thickBot="1">
      <c r="A35" s="33" t="s">
        <v>49</v>
      </c>
      <c r="B35" s="62"/>
      <c r="C35" s="35"/>
      <c r="D35" s="90"/>
      <c r="E35" s="94" t="s">
        <v>161</v>
      </c>
      <c r="F35" s="94"/>
      <c r="G35" s="68"/>
      <c r="I35" s="130" t="s">
        <v>162</v>
      </c>
      <c r="J35" s="131"/>
      <c r="K35" s="131"/>
      <c r="L35" s="70"/>
      <c r="N35" s="34" t="s">
        <v>163</v>
      </c>
      <c r="O35" s="53" t="s">
        <v>164</v>
      </c>
      <c r="P35" s="54" t="s">
        <v>165</v>
      </c>
    </row>
    <row r="36" spans="1:16" s="3" customFormat="1"/>
  </sheetData>
  <mergeCells count="97">
    <mergeCell ref="N25:P25"/>
    <mergeCell ref="N22:P22"/>
    <mergeCell ref="N3:N9"/>
    <mergeCell ref="N10:N11"/>
    <mergeCell ref="N12:N13"/>
    <mergeCell ref="N14:N15"/>
    <mergeCell ref="N21:O21"/>
    <mergeCell ref="N16:O16"/>
    <mergeCell ref="N23:P23"/>
    <mergeCell ref="N24:P24"/>
    <mergeCell ref="I33:K33"/>
    <mergeCell ref="I34:K34"/>
    <mergeCell ref="I35:K35"/>
    <mergeCell ref="I31:L31"/>
    <mergeCell ref="N26:P26"/>
    <mergeCell ref="N27:N28"/>
    <mergeCell ref="N29:N31"/>
    <mergeCell ref="N32:N34"/>
    <mergeCell ref="J28:K28"/>
    <mergeCell ref="J29:K29"/>
    <mergeCell ref="J30:K30"/>
    <mergeCell ref="I32:J32"/>
    <mergeCell ref="J26:K26"/>
    <mergeCell ref="N1:P1"/>
    <mergeCell ref="N17:O17"/>
    <mergeCell ref="N18:O18"/>
    <mergeCell ref="N19:O19"/>
    <mergeCell ref="N20:O20"/>
    <mergeCell ref="N2:O2"/>
    <mergeCell ref="A1:G1"/>
    <mergeCell ref="E2:G2"/>
    <mergeCell ref="E3:F3"/>
    <mergeCell ref="I11:K11"/>
    <mergeCell ref="A3:B3"/>
    <mergeCell ref="A6:B6"/>
    <mergeCell ref="E4:F4"/>
    <mergeCell ref="E5:F5"/>
    <mergeCell ref="E6:F6"/>
    <mergeCell ref="E7:F7"/>
    <mergeCell ref="E8:F8"/>
    <mergeCell ref="A4:B4"/>
    <mergeCell ref="A5:B5"/>
    <mergeCell ref="I1:L1"/>
    <mergeCell ref="A34:B34"/>
    <mergeCell ref="A31:B31"/>
    <mergeCell ref="A32:B32"/>
    <mergeCell ref="A33:B33"/>
    <mergeCell ref="A28:B28"/>
    <mergeCell ref="A29:B29"/>
    <mergeCell ref="A30:B30"/>
    <mergeCell ref="D6:D7"/>
    <mergeCell ref="D21:D29"/>
    <mergeCell ref="A23:B23"/>
    <mergeCell ref="A24:B24"/>
    <mergeCell ref="A14:B14"/>
    <mergeCell ref="A17:B17"/>
    <mergeCell ref="A18:B18"/>
    <mergeCell ref="A19:B19"/>
    <mergeCell ref="A20:B20"/>
    <mergeCell ref="A22:B22"/>
    <mergeCell ref="A27:B27"/>
    <mergeCell ref="A25:B25"/>
    <mergeCell ref="A26:B26"/>
    <mergeCell ref="D30:D35"/>
    <mergeCell ref="E11:F11"/>
    <mergeCell ref="D8:D9"/>
    <mergeCell ref="E32:F32"/>
    <mergeCell ref="E35:F35"/>
    <mergeCell ref="F21:G21"/>
    <mergeCell ref="E21:E23"/>
    <mergeCell ref="E30:F30"/>
    <mergeCell ref="E33:F33"/>
    <mergeCell ref="E34:F34"/>
    <mergeCell ref="E10:F10"/>
    <mergeCell ref="E9:F9"/>
    <mergeCell ref="A10:B10"/>
    <mergeCell ref="A15:B15"/>
    <mergeCell ref="A16:B16"/>
    <mergeCell ref="A13:B13"/>
    <mergeCell ref="J21:K21"/>
    <mergeCell ref="A21:B21"/>
    <mergeCell ref="J12:K12"/>
    <mergeCell ref="J13:K13"/>
    <mergeCell ref="J14:K14"/>
    <mergeCell ref="J20:K20"/>
    <mergeCell ref="J15:K15"/>
    <mergeCell ref="J16:K16"/>
    <mergeCell ref="J17:K17"/>
    <mergeCell ref="J18:K18"/>
    <mergeCell ref="J19:K19"/>
    <mergeCell ref="J25:K25"/>
    <mergeCell ref="E31:F31"/>
    <mergeCell ref="E12:F12"/>
    <mergeCell ref="J27:K27"/>
    <mergeCell ref="J22:K22"/>
    <mergeCell ref="J23:K23"/>
    <mergeCell ref="J24:K24"/>
  </mergeCells>
  <phoneticPr fontId="3" type="noConversion"/>
  <printOptions horizontalCentered="1" verticalCentered="1"/>
  <pageMargins left="0.25" right="0.25" top="0.75" bottom="0.75" header="0.3" footer="0.3"/>
  <pageSetup paperSize="9" orientation="landscape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35A2F97EBD2045B69BAF46F7DD123F" ma:contentTypeVersion="19" ma:contentTypeDescription="Crée un document." ma:contentTypeScope="" ma:versionID="38f470ff76f385c389aca515106940ca">
  <xsd:schema xmlns:xsd="http://www.w3.org/2001/XMLSchema" xmlns:xs="http://www.w3.org/2001/XMLSchema" xmlns:p="http://schemas.microsoft.com/office/2006/metadata/properties" xmlns:ns2="8eb853bd-9625-4a6b-8bf8-98cb47bbff41" xmlns:ns3="1cefd957-3b0c-4534-8d37-13f76a8d8dcf" targetNamespace="http://schemas.microsoft.com/office/2006/metadata/properties" ma:root="true" ma:fieldsID="17ce065667854157256acc7654aad9dc" ns2:_="" ns3:_="">
    <xsd:import namespace="8eb853bd-9625-4a6b-8bf8-98cb47bbff41"/>
    <xsd:import namespace="1cefd957-3b0c-4534-8d37-13f76a8d8d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b853bd-9625-4a6b-8bf8-98cb47bbff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874caac4-fe80-44ae-a895-b5e2e3dcd6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fd957-3b0c-4534-8d37-13f76a8d8dc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d522fef-c5e7-416e-aa02-75bda8de3833}" ma:internalName="TaxCatchAll" ma:showField="CatchAllData" ma:web="1cefd957-3b0c-4534-8d37-13f76a8d8d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cefd957-3b0c-4534-8d37-13f76a8d8dcf">
      <UserInfo>
        <DisplayName>stephen Leblond | CLCONSEILS</DisplayName>
        <AccountId>23</AccountId>
        <AccountType/>
      </UserInfo>
    </SharedWithUsers>
    <TaxCatchAll xmlns="1cefd957-3b0c-4534-8d37-13f76a8d8dcf" xsi:nil="true"/>
    <lcf76f155ced4ddcb4097134ff3c332f xmlns="8eb853bd-9625-4a6b-8bf8-98cb47bbff4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3F361E-B15A-442F-919D-9FC1AE8F8689}"/>
</file>

<file path=customXml/itemProps2.xml><?xml version="1.0" encoding="utf-8"?>
<ds:datastoreItem xmlns:ds="http://schemas.openxmlformats.org/officeDocument/2006/customXml" ds:itemID="{622CA886-CFC8-4E1D-AA5B-CF7BD86A8C6C}"/>
</file>

<file path=customXml/itemProps3.xml><?xml version="1.0" encoding="utf-8"?>
<ds:datastoreItem xmlns:ds="http://schemas.openxmlformats.org/officeDocument/2006/customXml" ds:itemID="{72146C8E-2C2D-4F4C-967A-FBD32383D8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Caroline PUIGMAL</dc:creator>
  <cp:keywords/>
  <dc:description/>
  <cp:lastModifiedBy/>
  <cp:revision/>
  <dcterms:created xsi:type="dcterms:W3CDTF">2023-10-27T20:44:35Z</dcterms:created>
  <dcterms:modified xsi:type="dcterms:W3CDTF">2026-01-19T17:37:05Z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0x0101004235A2F97EBD2045B69BAF46F7DD123F</vt:lpwstr>
  </property>
  <property fmtid="{D5CDD505-2E9C-101B-9397-08002B2CF9AE}" pid="3" name="MediaServiceImageTags">
    <vt:lpwstr/>
  </property>
</Properties>
</file>